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722" documentId="13_ncr:1_{0B453FD3-798C-44F1-AE68-DB3CC695CE4C}" xr6:coauthVersionLast="47" xr6:coauthVersionMax="47" xr10:uidLastSave="{80ECA21E-30A2-4E19-91EB-4FA6423D4940}"/>
  <bookViews>
    <workbookView xWindow="1170" yWindow="1170" windowWidth="25965" windowHeight="14745" xr2:uid="{6DE6BE46-6D40-408E-8663-EDE3F977B8C2}"/>
  </bookViews>
  <sheets>
    <sheet name="コスト表" sheetId="1" r:id="rId1"/>
    <sheet name="開発スケジュール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3" i="1"/>
  <c r="L6" i="1"/>
  <c r="L5" i="1"/>
  <c r="L11" i="1"/>
  <c r="L4" i="1"/>
</calcChain>
</file>

<file path=xl/sharedStrings.xml><?xml version="1.0" encoding="utf-8"?>
<sst xmlns="http://schemas.openxmlformats.org/spreadsheetml/2006/main" count="257" uniqueCount="101">
  <si>
    <t>ゲーム開発コスト表</t>
    <rPh sb="3" eb="5">
      <t>カイハツ</t>
    </rPh>
    <rPh sb="8" eb="9">
      <t>ヒョウ</t>
    </rPh>
    <phoneticPr fontId="1"/>
  </si>
  <si>
    <t>ベース</t>
  </si>
  <si>
    <t>要素</t>
    <rPh sb="0" eb="2">
      <t>ヨウソ</t>
    </rPh>
    <phoneticPr fontId="1"/>
  </si>
  <si>
    <t>見積コスト</t>
    <rPh sb="0" eb="2">
      <t>ミツモリ</t>
    </rPh>
    <phoneticPr fontId="1"/>
  </si>
  <si>
    <t>バージョン</t>
    <phoneticPr fontId="1"/>
  </si>
  <si>
    <t>実コスト</t>
    <rPh sb="0" eb="1">
      <t>ジツ</t>
    </rPh>
    <phoneticPr fontId="1"/>
  </si>
  <si>
    <t>担当</t>
    <rPh sb="0" eb="2">
      <t>タントウ</t>
    </rPh>
    <phoneticPr fontId="1"/>
  </si>
  <si>
    <t>ステータス</t>
    <phoneticPr fontId="1"/>
  </si>
  <si>
    <t>備考</t>
    <rPh sb="0" eb="2">
      <t>ビコウ</t>
    </rPh>
    <phoneticPr fontId="1"/>
  </si>
  <si>
    <t>作業工数</t>
    <rPh sb="0" eb="4">
      <t>サギョウコウスウ</t>
    </rPh>
    <phoneticPr fontId="1"/>
  </si>
  <si>
    <t>プレイヤー</t>
    <phoneticPr fontId="1"/>
  </si>
  <si>
    <t>移動</t>
    <rPh sb="0" eb="2">
      <t>イドウ</t>
    </rPh>
    <phoneticPr fontId="1"/>
  </si>
  <si>
    <t>プロト</t>
    <phoneticPr fontId="1"/>
  </si>
  <si>
    <t>佐々木</t>
    <rPh sb="0" eb="3">
      <t>ササキ</t>
    </rPh>
    <phoneticPr fontId="1"/>
  </si>
  <si>
    <t>完了</t>
  </si>
  <si>
    <t>ジャンプ</t>
    <phoneticPr fontId="1"/>
  </si>
  <si>
    <t>アルファ</t>
    <phoneticPr fontId="1"/>
  </si>
  <si>
    <t>ダッシュ</t>
    <phoneticPr fontId="1"/>
  </si>
  <si>
    <t>ベータ</t>
    <phoneticPr fontId="1"/>
  </si>
  <si>
    <t>掴む</t>
    <rPh sb="0" eb="1">
      <t>ツカ</t>
    </rPh>
    <phoneticPr fontId="1"/>
  </si>
  <si>
    <t>未着手</t>
    <rPh sb="0" eb="3">
      <t>ミチャクシュ</t>
    </rPh>
    <phoneticPr fontId="1"/>
  </si>
  <si>
    <t>殴る</t>
    <rPh sb="0" eb="1">
      <t>ナグ</t>
    </rPh>
    <phoneticPr fontId="1"/>
  </si>
  <si>
    <t>残りコスト</t>
  </si>
  <si>
    <t>登る（崖掴み）</t>
    <rPh sb="0" eb="1">
      <t>ノボ</t>
    </rPh>
    <rPh sb="3" eb="5">
      <t>ガケツカ</t>
    </rPh>
    <phoneticPr fontId="1"/>
  </si>
  <si>
    <t>当たり判定</t>
    <rPh sb="0" eb="1">
      <t>ア</t>
    </rPh>
    <rPh sb="3" eb="5">
      <t>ハンテイ</t>
    </rPh>
    <phoneticPr fontId="1"/>
  </si>
  <si>
    <t>素材集め</t>
    <rPh sb="0" eb="3">
      <t>ソザイアツ</t>
    </rPh>
    <phoneticPr fontId="1"/>
  </si>
  <si>
    <t>アニメーション実装</t>
  </si>
  <si>
    <t>アルファ</t>
  </si>
  <si>
    <t>佐々木</t>
  </si>
  <si>
    <t>プレイヤー複数作成</t>
  </si>
  <si>
    <t>プロト</t>
  </si>
  <si>
    <t>プレイヤーの勝敗モーション</t>
  </si>
  <si>
    <t>打開用のジャンプ力強化</t>
  </si>
  <si>
    <t>負けたほうに爆破のエフェクト</t>
  </si>
  <si>
    <t>川浪</t>
  </si>
  <si>
    <t>カメラ</t>
    <phoneticPr fontId="1"/>
  </si>
  <si>
    <t>カメラの移動（追尾）</t>
    <rPh sb="4" eb="6">
      <t>イドウ</t>
    </rPh>
    <rPh sb="7" eb="9">
      <t>ツイビ</t>
    </rPh>
    <phoneticPr fontId="1"/>
  </si>
  <si>
    <t>川浪</t>
    <rPh sb="0" eb="2">
      <t>カワナミ</t>
    </rPh>
    <phoneticPr fontId="1"/>
  </si>
  <si>
    <t>カメラ分割</t>
    <rPh sb="3" eb="5">
      <t>ブンカツ</t>
    </rPh>
    <phoneticPr fontId="1"/>
  </si>
  <si>
    <t>コントローラー接続</t>
    <rPh sb="7" eb="9">
      <t>セツゾク</t>
    </rPh>
    <phoneticPr fontId="1"/>
  </si>
  <si>
    <t>見積総コスト</t>
    <rPh sb="0" eb="2">
      <t>ミツモリ</t>
    </rPh>
    <rPh sb="2" eb="3">
      <t>ソウ</t>
    </rPh>
    <phoneticPr fontId="1"/>
  </si>
  <si>
    <t>ステージ</t>
    <phoneticPr fontId="1"/>
  </si>
  <si>
    <t>工藤</t>
    <rPh sb="0" eb="2">
      <t>クドウ</t>
    </rPh>
    <phoneticPr fontId="1"/>
  </si>
  <si>
    <t>1コスト1時間</t>
  </si>
  <si>
    <t>配置</t>
    <rPh sb="0" eb="2">
      <t>ハイチ</t>
    </rPh>
    <phoneticPr fontId="1"/>
  </si>
  <si>
    <t>勝敗条件</t>
  </si>
  <si>
    <t>工藤</t>
  </si>
  <si>
    <t>タイマー仮置き</t>
  </si>
  <si>
    <t>背景</t>
  </si>
  <si>
    <t>ベータ</t>
  </si>
  <si>
    <t>スタートカウントダウン</t>
  </si>
  <si>
    <t>UI</t>
  </si>
  <si>
    <t>リザルト画面</t>
  </si>
  <si>
    <t>大崎</t>
    <rPh sb="0" eb="2">
      <t>オオサキ</t>
    </rPh>
    <phoneticPr fontId="1"/>
  </si>
  <si>
    <t>作業中</t>
  </si>
  <si>
    <t>→決定ボタンまたはタイトルに戻るボタン(仮置き)</t>
  </si>
  <si>
    <t>大崎</t>
  </si>
  <si>
    <t>→背景作成</t>
  </si>
  <si>
    <t xml:space="preserve">    </t>
  </si>
  <si>
    <t>→仮置き</t>
  </si>
  <si>
    <t>→決定・戻るボタン作成</t>
  </si>
  <si>
    <t>勝敗演出</t>
  </si>
  <si>
    <t>メニュー画面</t>
  </si>
  <si>
    <t>→ステージ選択ボタン</t>
  </si>
  <si>
    <t>スタート画面</t>
  </si>
  <si>
    <t>→スタートボタン</t>
  </si>
  <si>
    <t>→タイトルロゴ作成</t>
  </si>
  <si>
    <t>→決定ボタン作成</t>
  </si>
  <si>
    <t>ゲーム画面</t>
  </si>
  <si>
    <t>→タイマーフォント変更</t>
  </si>
  <si>
    <t>→1P2P識別</t>
  </si>
  <si>
    <t>→打開用アイコン</t>
  </si>
  <si>
    <t>各画面遷移</t>
    <rPh sb="0" eb="1">
      <t>カク</t>
    </rPh>
    <rPh sb="1" eb="3">
      <t>ガメン</t>
    </rPh>
    <rPh sb="3" eb="5">
      <t>センイ</t>
    </rPh>
    <phoneticPr fontId="1"/>
  </si>
  <si>
    <t>フェードインアウト</t>
  </si>
  <si>
    <t>BGM</t>
  </si>
  <si>
    <t>タイトルBGM</t>
  </si>
  <si>
    <t>甘蔗</t>
  </si>
  <si>
    <t>メニュー画面BGM</t>
  </si>
  <si>
    <t>ゲーム画面BGM</t>
  </si>
  <si>
    <t>リザルトBGM</t>
  </si>
  <si>
    <t>走りSE</t>
  </si>
  <si>
    <t>スタートSE</t>
  </si>
  <si>
    <t>タイムアップSE</t>
  </si>
  <si>
    <t>素材集め</t>
  </si>
  <si>
    <t>その他</t>
  </si>
  <si>
    <t>チェックポイント</t>
  </si>
  <si>
    <t>チェックポイントのエフェクト</t>
  </si>
  <si>
    <t>未着手</t>
  </si>
  <si>
    <t>登った距離</t>
  </si>
  <si>
    <t>作業に余裕ができた人</t>
  </si>
  <si>
    <t>　　　</t>
  </si>
  <si>
    <t>開発スケジュール</t>
    <rPh sb="0" eb="2">
      <t>カイハツ</t>
    </rPh>
    <phoneticPr fontId="1"/>
  </si>
  <si>
    <t>9月</t>
    <rPh sb="1" eb="2">
      <t>ガツ</t>
    </rPh>
    <phoneticPr fontId="1"/>
  </si>
  <si>
    <t>月</t>
  </si>
  <si>
    <t>火</t>
  </si>
  <si>
    <t>水</t>
  </si>
  <si>
    <t>木</t>
  </si>
  <si>
    <t>金</t>
  </si>
  <si>
    <t>10月</t>
    <rPh sb="2" eb="3">
      <t>ガツ</t>
    </rPh>
    <phoneticPr fontId="1"/>
  </si>
  <si>
    <t>マスター</t>
    <phoneticPr fontId="1"/>
  </si>
  <si>
    <t>提出</t>
    <rPh sb="0" eb="2">
      <t>テイシュツ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</si>
</sst>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charset val="1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0" xfId="0" applyAlignment="1">
      <alignment vertical="top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6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8" xfId="0" applyFill="1" applyBorder="1">
      <alignment vertical="center"/>
    </xf>
    <xf numFmtId="0" fontId="0" fillId="0" borderId="9" xfId="0" applyBorder="1">
      <alignment vertical="center"/>
    </xf>
    <xf numFmtId="0" fontId="0" fillId="6" borderId="9" xfId="0" applyFill="1" applyBorder="1">
      <alignment vertical="center"/>
    </xf>
    <xf numFmtId="0" fontId="0" fillId="3" borderId="8" xfId="0" applyFill="1" applyBorder="1">
      <alignment vertical="center"/>
    </xf>
    <xf numFmtId="0" fontId="0" fillId="4" borderId="8" xfId="0" applyFill="1" applyBorder="1">
      <alignment vertical="center"/>
    </xf>
    <xf numFmtId="0" fontId="0" fillId="5" borderId="8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7" borderId="8" xfId="0" applyFill="1" applyBorder="1">
      <alignment vertical="center"/>
    </xf>
    <xf numFmtId="0" fontId="2" fillId="0" borderId="4" xfId="0" applyFont="1" applyBorder="1">
      <alignment vertical="center"/>
    </xf>
    <xf numFmtId="0" fontId="0" fillId="5" borderId="4" xfId="0" applyFill="1" applyBorder="1">
      <alignment vertical="center"/>
    </xf>
    <xf numFmtId="0" fontId="0" fillId="2" borderId="10" xfId="0" applyFill="1" applyBorder="1">
      <alignment vertical="center"/>
    </xf>
    <xf numFmtId="0" fontId="0" fillId="3" borderId="10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4" borderId="15" xfId="0" applyFill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4" borderId="20" xfId="0" applyFill="1" applyBorder="1">
      <alignment vertical="center"/>
    </xf>
    <xf numFmtId="0" fontId="0" fillId="4" borderId="19" xfId="0" applyFill="1" applyBorder="1">
      <alignment vertical="center"/>
    </xf>
    <xf numFmtId="0" fontId="0" fillId="4" borderId="21" xfId="0" applyFill="1" applyBorder="1">
      <alignment vertical="center"/>
    </xf>
    <xf numFmtId="0" fontId="0" fillId="4" borderId="22" xfId="0" applyFill="1" applyBorder="1">
      <alignment vertical="center"/>
    </xf>
    <xf numFmtId="0" fontId="0" fillId="5" borderId="22" xfId="0" applyFill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8" borderId="1" xfId="0" applyFill="1" applyBorder="1">
      <alignment vertical="center"/>
    </xf>
    <xf numFmtId="0" fontId="0" fillId="4" borderId="0" xfId="0" applyFill="1">
      <alignment vertical="center"/>
    </xf>
    <xf numFmtId="0" fontId="0" fillId="9" borderId="1" xfId="0" applyFill="1" applyBorder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8" borderId="0" xfId="0" applyFill="1">
      <alignment vertical="center"/>
    </xf>
    <xf numFmtId="0" fontId="0" fillId="10" borderId="0" xfId="0" applyFill="1">
      <alignment vertical="center"/>
    </xf>
    <xf numFmtId="0" fontId="2" fillId="6" borderId="4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ECDA-BF26-46FD-803C-75E03120C647}">
  <dimension ref="A2:M68"/>
  <sheetViews>
    <sheetView tabSelected="1" topLeftCell="A24" workbookViewId="0">
      <selection activeCell="J37" sqref="I37:J37"/>
    </sheetView>
  </sheetViews>
  <sheetFormatPr defaultRowHeight="18.75"/>
  <cols>
    <col min="1" max="1" width="18" customWidth="1"/>
    <col min="2" max="2" width="13.75" customWidth="1"/>
    <col min="3" max="3" width="20.25" customWidth="1"/>
    <col min="4" max="5" width="21.5" customWidth="1"/>
    <col min="6" max="6" width="12.75" customWidth="1"/>
    <col min="7" max="8" width="14.125" customWidth="1"/>
    <col min="9" max="9" width="15.125" customWidth="1"/>
    <col min="11" max="11" width="21.25" customWidth="1"/>
    <col min="12" max="12" width="15.375" customWidth="1"/>
  </cols>
  <sheetData>
    <row r="2" spans="1:12" ht="15.75">
      <c r="A2" t="s">
        <v>0</v>
      </c>
    </row>
    <row r="3" spans="1:12" ht="15.75">
      <c r="B3" s="10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2" t="s">
        <v>8</v>
      </c>
      <c r="K3" s="6" t="s">
        <v>9</v>
      </c>
      <c r="L3" s="1">
        <f>SUM(D4,D6,D5,D10:D32,D36:D41,D43:D55,D58)</f>
        <v>86.5</v>
      </c>
    </row>
    <row r="4" spans="1:12" ht="15.75">
      <c r="B4" s="13" t="s">
        <v>10</v>
      </c>
      <c r="C4" s="8" t="s">
        <v>11</v>
      </c>
      <c r="D4" s="8">
        <v>1</v>
      </c>
      <c r="E4" s="8" t="s">
        <v>12</v>
      </c>
      <c r="F4" s="8">
        <v>1</v>
      </c>
      <c r="G4" s="8" t="s">
        <v>13</v>
      </c>
      <c r="H4" s="8" t="s">
        <v>14</v>
      </c>
      <c r="I4" s="14"/>
      <c r="K4" s="3" t="s">
        <v>12</v>
      </c>
      <c r="L4" s="7">
        <f>SUM(D4:D19,D21)</f>
        <v>30</v>
      </c>
    </row>
    <row r="5" spans="1:12" ht="15.75">
      <c r="B5" s="13"/>
      <c r="C5" s="8" t="s">
        <v>15</v>
      </c>
      <c r="D5" s="8">
        <v>1</v>
      </c>
      <c r="E5" s="8" t="s">
        <v>12</v>
      </c>
      <c r="F5" s="8">
        <v>1</v>
      </c>
      <c r="G5" s="8" t="s">
        <v>13</v>
      </c>
      <c r="H5" s="8" t="s">
        <v>14</v>
      </c>
      <c r="I5" s="14"/>
      <c r="K5" s="4" t="s">
        <v>16</v>
      </c>
      <c r="L5" s="1">
        <f>SUM(D11,D12,D14:D16,D22:D24,D26,D31:D32,D39,D44:D45,D55,D58)</f>
        <v>35</v>
      </c>
    </row>
    <row r="6" spans="1:12" ht="15.75">
      <c r="B6" s="13"/>
      <c r="C6" s="8" t="s">
        <v>17</v>
      </c>
      <c r="D6" s="8">
        <v>1</v>
      </c>
      <c r="E6" s="8" t="s">
        <v>12</v>
      </c>
      <c r="F6" s="8">
        <v>0.5</v>
      </c>
      <c r="G6" s="8" t="s">
        <v>13</v>
      </c>
      <c r="H6" s="8" t="s">
        <v>14</v>
      </c>
      <c r="I6" s="14"/>
      <c r="K6" s="2" t="s">
        <v>18</v>
      </c>
      <c r="L6" s="1">
        <f>SUM(D25,D27,D29,D36,D40:D41,D43,D48:D54)</f>
        <v>30</v>
      </c>
    </row>
    <row r="7" spans="1:12" ht="15.75">
      <c r="B7" s="13"/>
      <c r="C7" s="9" t="s">
        <v>19</v>
      </c>
      <c r="D7" s="9">
        <v>2</v>
      </c>
      <c r="E7" s="9" t="s">
        <v>12</v>
      </c>
      <c r="F7" s="9">
        <v>2</v>
      </c>
      <c r="G7" s="9" t="s">
        <v>13</v>
      </c>
      <c r="H7" s="9" t="s">
        <v>20</v>
      </c>
      <c r="I7" s="15"/>
    </row>
    <row r="8" spans="1:12" ht="15.75">
      <c r="B8" s="13"/>
      <c r="C8" s="9" t="s">
        <v>21</v>
      </c>
      <c r="D8" s="9">
        <v>2</v>
      </c>
      <c r="E8" s="9" t="s">
        <v>12</v>
      </c>
      <c r="F8" s="9"/>
      <c r="G8" s="9" t="s">
        <v>13</v>
      </c>
      <c r="H8" s="9" t="s">
        <v>20</v>
      </c>
      <c r="I8" s="15"/>
      <c r="K8" s="26" t="s">
        <v>22</v>
      </c>
      <c r="L8" s="27"/>
    </row>
    <row r="9" spans="1:12" ht="15.75">
      <c r="B9" s="13"/>
      <c r="C9" s="9" t="s">
        <v>23</v>
      </c>
      <c r="D9" s="9">
        <v>2</v>
      </c>
      <c r="E9" s="9" t="s">
        <v>12</v>
      </c>
      <c r="F9" s="9"/>
      <c r="G9" s="9" t="s">
        <v>13</v>
      </c>
      <c r="H9" s="9" t="s">
        <v>20</v>
      </c>
      <c r="I9" s="15"/>
      <c r="K9" s="28" t="s">
        <v>12</v>
      </c>
      <c r="L9" s="29">
        <v>0</v>
      </c>
    </row>
    <row r="10" spans="1:12" ht="15.75">
      <c r="B10" s="13"/>
      <c r="C10" s="8" t="s">
        <v>24</v>
      </c>
      <c r="D10" s="8">
        <v>1</v>
      </c>
      <c r="E10" s="8" t="s">
        <v>12</v>
      </c>
      <c r="F10" s="8">
        <v>0.5</v>
      </c>
      <c r="G10" s="8" t="s">
        <v>13</v>
      </c>
      <c r="H10" s="8" t="s">
        <v>14</v>
      </c>
      <c r="I10" s="14"/>
      <c r="K10" s="18" t="s">
        <v>16</v>
      </c>
      <c r="L10" s="1">
        <v>0</v>
      </c>
    </row>
    <row r="11" spans="1:12" ht="15.75">
      <c r="B11" s="13"/>
      <c r="C11" s="8" t="s">
        <v>25</v>
      </c>
      <c r="D11" s="8">
        <v>1</v>
      </c>
      <c r="E11" s="8" t="s">
        <v>16</v>
      </c>
      <c r="F11" s="8">
        <v>1.5</v>
      </c>
      <c r="G11" s="8" t="s">
        <v>13</v>
      </c>
      <c r="H11" s="8" t="s">
        <v>14</v>
      </c>
      <c r="I11" s="14"/>
      <c r="K11" s="25" t="s">
        <v>18</v>
      </c>
      <c r="L11" s="20">
        <f>SUM(D27,D29,D40,D41,D50+4)</f>
        <v>19</v>
      </c>
    </row>
    <row r="12" spans="1:12" ht="15.75">
      <c r="B12" s="13"/>
      <c r="C12" s="8" t="s">
        <v>26</v>
      </c>
      <c r="D12" s="8">
        <v>2</v>
      </c>
      <c r="E12" s="8" t="s">
        <v>27</v>
      </c>
      <c r="F12" s="8">
        <v>2.5</v>
      </c>
      <c r="G12" s="8" t="s">
        <v>28</v>
      </c>
      <c r="H12" s="8" t="s">
        <v>14</v>
      </c>
      <c r="I12" s="14"/>
    </row>
    <row r="13" spans="1:12" ht="15.75">
      <c r="B13" s="13"/>
      <c r="C13" s="8" t="s">
        <v>29</v>
      </c>
      <c r="D13" s="8">
        <v>2</v>
      </c>
      <c r="E13" s="8" t="s">
        <v>30</v>
      </c>
      <c r="F13" s="8">
        <v>3</v>
      </c>
      <c r="G13" s="8" t="s">
        <v>28</v>
      </c>
      <c r="H13" s="8" t="s">
        <v>14</v>
      </c>
      <c r="I13" s="14"/>
    </row>
    <row r="14" spans="1:12" ht="15.75">
      <c r="B14" s="13"/>
      <c r="C14" s="8" t="s">
        <v>31</v>
      </c>
      <c r="D14" s="8">
        <v>2</v>
      </c>
      <c r="E14" s="8" t="s">
        <v>27</v>
      </c>
      <c r="F14" s="8">
        <v>2</v>
      </c>
      <c r="G14" s="8" t="s">
        <v>28</v>
      </c>
      <c r="H14" s="8" t="s">
        <v>14</v>
      </c>
      <c r="I14" s="14"/>
    </row>
    <row r="15" spans="1:12" ht="15.75">
      <c r="B15" s="13"/>
      <c r="C15" s="8" t="s">
        <v>32</v>
      </c>
      <c r="D15" s="8">
        <v>3</v>
      </c>
      <c r="E15" s="8" t="s">
        <v>27</v>
      </c>
      <c r="F15" s="8">
        <v>1</v>
      </c>
      <c r="G15" s="8" t="s">
        <v>28</v>
      </c>
      <c r="H15" s="8" t="s">
        <v>14</v>
      </c>
      <c r="I15" s="14"/>
    </row>
    <row r="16" spans="1:12" ht="15.75">
      <c r="B16" s="13"/>
      <c r="C16" s="8" t="s">
        <v>33</v>
      </c>
      <c r="D16" s="8">
        <v>2</v>
      </c>
      <c r="E16" s="8" t="s">
        <v>27</v>
      </c>
      <c r="F16" s="8">
        <v>1.5</v>
      </c>
      <c r="G16" s="8" t="s">
        <v>34</v>
      </c>
      <c r="H16" s="8" t="s">
        <v>14</v>
      </c>
      <c r="I16" s="14"/>
    </row>
    <row r="17" spans="2:13" ht="15.75">
      <c r="B17" s="16" t="s">
        <v>35</v>
      </c>
      <c r="C17" s="8" t="s">
        <v>36</v>
      </c>
      <c r="D17" s="8">
        <v>3</v>
      </c>
      <c r="E17" s="8" t="s">
        <v>12</v>
      </c>
      <c r="F17" s="8">
        <v>1</v>
      </c>
      <c r="G17" s="8" t="s">
        <v>37</v>
      </c>
      <c r="H17" s="8" t="s">
        <v>14</v>
      </c>
      <c r="I17" s="14"/>
    </row>
    <row r="18" spans="2:13" ht="15.75">
      <c r="B18" s="16"/>
      <c r="C18" s="8" t="s">
        <v>38</v>
      </c>
      <c r="D18" s="8">
        <v>2</v>
      </c>
      <c r="E18" s="8" t="s">
        <v>12</v>
      </c>
      <c r="F18" s="8">
        <v>0.5</v>
      </c>
      <c r="G18" s="8" t="s">
        <v>37</v>
      </c>
      <c r="H18" s="8" t="s">
        <v>14</v>
      </c>
      <c r="I18" s="14"/>
    </row>
    <row r="19" spans="2:13" ht="15.75">
      <c r="B19" s="16"/>
      <c r="C19" s="8" t="s">
        <v>39</v>
      </c>
      <c r="D19" s="8">
        <v>1</v>
      </c>
      <c r="E19" s="8" t="s">
        <v>12</v>
      </c>
      <c r="F19" s="8">
        <v>0.5</v>
      </c>
      <c r="G19" s="8" t="s">
        <v>37</v>
      </c>
      <c r="H19" s="8" t="s">
        <v>14</v>
      </c>
      <c r="I19" s="14"/>
      <c r="K19" t="s">
        <v>40</v>
      </c>
      <c r="L19" s="1">
        <f>SUM(D4,D6,D5,D10:D32,D36:D41,D43:D55,D58)</f>
        <v>86.5</v>
      </c>
    </row>
    <row r="20" spans="2:13" ht="15.75">
      <c r="B20" s="17" t="s">
        <v>41</v>
      </c>
      <c r="C20" s="8" t="s">
        <v>25</v>
      </c>
      <c r="D20" s="8">
        <v>2</v>
      </c>
      <c r="E20" s="8" t="s">
        <v>30</v>
      </c>
      <c r="F20" s="8"/>
      <c r="G20" s="8" t="s">
        <v>42</v>
      </c>
      <c r="H20" s="8" t="s">
        <v>14</v>
      </c>
      <c r="I20" s="14"/>
      <c r="K20" t="s">
        <v>43</v>
      </c>
    </row>
    <row r="21" spans="2:13" ht="15.75">
      <c r="B21" s="17"/>
      <c r="C21" s="8" t="s">
        <v>24</v>
      </c>
      <c r="D21" s="8">
        <v>2</v>
      </c>
      <c r="E21" s="8" t="s">
        <v>12</v>
      </c>
      <c r="F21" s="8">
        <v>0.5</v>
      </c>
      <c r="G21" s="8" t="s">
        <v>42</v>
      </c>
      <c r="H21" s="8" t="s">
        <v>14</v>
      </c>
      <c r="I21" s="14"/>
    </row>
    <row r="22" spans="2:13" ht="15.75">
      <c r="B22" s="17"/>
      <c r="C22" s="8" t="s">
        <v>44</v>
      </c>
      <c r="D22" s="8">
        <v>3</v>
      </c>
      <c r="E22" s="8" t="s">
        <v>16</v>
      </c>
      <c r="F22" s="8">
        <v>5</v>
      </c>
      <c r="G22" s="8" t="s">
        <v>42</v>
      </c>
      <c r="H22" s="8" t="s">
        <v>14</v>
      </c>
      <c r="I22" s="14"/>
      <c r="M22" s="5"/>
    </row>
    <row r="23" spans="2:13" ht="15.75">
      <c r="B23" s="17"/>
      <c r="C23" s="8" t="s">
        <v>45</v>
      </c>
      <c r="D23" s="8">
        <v>2</v>
      </c>
      <c r="E23" s="8" t="s">
        <v>27</v>
      </c>
      <c r="F23" s="8">
        <v>2</v>
      </c>
      <c r="G23" s="8" t="s">
        <v>46</v>
      </c>
      <c r="H23" s="8" t="s">
        <v>14</v>
      </c>
      <c r="I23" s="14"/>
    </row>
    <row r="24" spans="2:13" ht="15.75">
      <c r="B24" s="17"/>
      <c r="C24" s="8" t="s">
        <v>47</v>
      </c>
      <c r="D24" s="8">
        <v>2</v>
      </c>
      <c r="E24" s="8" t="s">
        <v>16</v>
      </c>
      <c r="F24" s="8">
        <v>1</v>
      </c>
      <c r="G24" s="8" t="s">
        <v>46</v>
      </c>
      <c r="H24" s="8" t="s">
        <v>14</v>
      </c>
      <c r="I24" s="14"/>
    </row>
    <row r="25" spans="2:13" ht="15.75">
      <c r="B25" s="17"/>
      <c r="C25" s="8" t="s">
        <v>48</v>
      </c>
      <c r="D25" s="8">
        <v>2</v>
      </c>
      <c r="E25" s="8" t="s">
        <v>49</v>
      </c>
      <c r="F25" s="8">
        <v>1</v>
      </c>
      <c r="G25" s="8" t="s">
        <v>46</v>
      </c>
      <c r="H25" s="8" t="s">
        <v>14</v>
      </c>
      <c r="I25" s="14"/>
    </row>
    <row r="26" spans="2:13" ht="15.75">
      <c r="B26" s="17"/>
      <c r="C26" s="8" t="s">
        <v>50</v>
      </c>
      <c r="D26" s="8">
        <v>2</v>
      </c>
      <c r="E26" s="8" t="s">
        <v>27</v>
      </c>
      <c r="F26" s="8">
        <v>1</v>
      </c>
      <c r="G26" s="8" t="s">
        <v>46</v>
      </c>
      <c r="H26" s="8" t="s">
        <v>14</v>
      </c>
      <c r="I26" s="14"/>
    </row>
    <row r="27" spans="2:13" ht="15.75">
      <c r="B27" s="18" t="s">
        <v>51</v>
      </c>
      <c r="C27" s="23" t="s">
        <v>52</v>
      </c>
      <c r="D27" s="8">
        <v>5</v>
      </c>
      <c r="E27" s="8" t="s">
        <v>18</v>
      </c>
      <c r="F27" s="8"/>
      <c r="G27" s="8" t="s">
        <v>53</v>
      </c>
      <c r="H27" s="8" t="s">
        <v>54</v>
      </c>
      <c r="I27" s="14"/>
    </row>
    <row r="28" spans="2:13" ht="15.75">
      <c r="B28" s="18"/>
      <c r="C28" s="8" t="s">
        <v>55</v>
      </c>
      <c r="D28" s="8">
        <v>1</v>
      </c>
      <c r="E28" s="8" t="s">
        <v>30</v>
      </c>
      <c r="F28" s="8">
        <v>1</v>
      </c>
      <c r="G28" s="8" t="s">
        <v>56</v>
      </c>
      <c r="H28" s="8" t="s">
        <v>14</v>
      </c>
      <c r="I28" s="14"/>
    </row>
    <row r="29" spans="2:13" ht="15.75">
      <c r="B29" s="18"/>
      <c r="C29" s="8" t="s">
        <v>57</v>
      </c>
      <c r="D29" s="8">
        <v>3</v>
      </c>
      <c r="E29" s="8" t="s">
        <v>49</v>
      </c>
      <c r="F29" s="8">
        <v>3</v>
      </c>
      <c r="G29" s="8" t="s">
        <v>56</v>
      </c>
      <c r="H29" s="8" t="s">
        <v>14</v>
      </c>
      <c r="I29" s="14"/>
      <c r="K29" t="s">
        <v>58</v>
      </c>
    </row>
    <row r="30" spans="2:13" ht="15.75">
      <c r="B30" s="18"/>
      <c r="C30" s="8" t="s">
        <v>59</v>
      </c>
      <c r="D30" s="8">
        <v>0.5</v>
      </c>
      <c r="E30" s="8" t="s">
        <v>30</v>
      </c>
      <c r="F30" s="8">
        <v>0.5</v>
      </c>
      <c r="G30" s="8" t="s">
        <v>56</v>
      </c>
      <c r="H30" s="8" t="s">
        <v>14</v>
      </c>
      <c r="I30" s="14"/>
    </row>
    <row r="31" spans="2:13" ht="15.75">
      <c r="B31" s="18"/>
      <c r="C31" s="8" t="s">
        <v>60</v>
      </c>
      <c r="D31" s="8">
        <v>3</v>
      </c>
      <c r="E31" s="8" t="s">
        <v>49</v>
      </c>
      <c r="F31" s="8">
        <v>3</v>
      </c>
      <c r="G31" s="8" t="s">
        <v>56</v>
      </c>
      <c r="H31" s="8" t="s">
        <v>14</v>
      </c>
      <c r="I31" s="14"/>
    </row>
    <row r="32" spans="2:13" ht="15.75">
      <c r="B32" s="18"/>
      <c r="C32" s="8" t="s">
        <v>61</v>
      </c>
      <c r="D32" s="8">
        <v>2</v>
      </c>
      <c r="E32" s="8" t="s">
        <v>27</v>
      </c>
      <c r="F32" s="8">
        <v>2</v>
      </c>
      <c r="G32" s="8" t="s">
        <v>28</v>
      </c>
      <c r="H32" s="8" t="s">
        <v>14</v>
      </c>
      <c r="I32" s="14"/>
    </row>
    <row r="33" spans="2:9" ht="15.75">
      <c r="B33" s="18"/>
      <c r="C33" s="23" t="s">
        <v>62</v>
      </c>
      <c r="D33" s="9">
        <v>3</v>
      </c>
      <c r="E33" s="9" t="s">
        <v>18</v>
      </c>
      <c r="F33" s="9"/>
      <c r="G33" s="9" t="s">
        <v>53</v>
      </c>
      <c r="H33" s="9" t="s">
        <v>20</v>
      </c>
      <c r="I33" s="14"/>
    </row>
    <row r="34" spans="2:9" ht="15.75">
      <c r="B34" s="18"/>
      <c r="C34" s="8" t="s">
        <v>63</v>
      </c>
      <c r="D34" s="9">
        <v>1</v>
      </c>
      <c r="E34" s="9" t="s">
        <v>30</v>
      </c>
      <c r="F34" s="9">
        <v>1</v>
      </c>
      <c r="G34" s="9" t="s">
        <v>56</v>
      </c>
      <c r="H34" s="9" t="s">
        <v>14</v>
      </c>
      <c r="I34" s="14"/>
    </row>
    <row r="35" spans="2:9" ht="15.75">
      <c r="B35" s="18"/>
      <c r="C35" s="8" t="s">
        <v>59</v>
      </c>
      <c r="D35" s="9">
        <v>1</v>
      </c>
      <c r="E35" s="9" t="s">
        <v>30</v>
      </c>
      <c r="F35" s="9">
        <v>1</v>
      </c>
      <c r="G35" s="9" t="s">
        <v>56</v>
      </c>
      <c r="H35" s="9" t="s">
        <v>14</v>
      </c>
      <c r="I35" s="14"/>
    </row>
    <row r="36" spans="2:9" ht="15.75">
      <c r="B36" s="18"/>
      <c r="C36" s="23" t="s">
        <v>64</v>
      </c>
      <c r="D36" s="8">
        <v>5</v>
      </c>
      <c r="E36" s="8" t="s">
        <v>49</v>
      </c>
      <c r="F36" s="8">
        <v>4</v>
      </c>
      <c r="G36" s="8" t="s">
        <v>56</v>
      </c>
      <c r="H36" s="8" t="s">
        <v>14</v>
      </c>
      <c r="I36" s="14"/>
    </row>
    <row r="37" spans="2:9" ht="15.75">
      <c r="B37" s="18"/>
      <c r="C37" s="8" t="s">
        <v>59</v>
      </c>
      <c r="D37" s="8">
        <v>0.5</v>
      </c>
      <c r="E37" s="8" t="s">
        <v>30</v>
      </c>
      <c r="F37" s="8">
        <v>0.5</v>
      </c>
      <c r="G37" s="8" t="s">
        <v>56</v>
      </c>
      <c r="H37" s="8" t="s">
        <v>14</v>
      </c>
      <c r="I37" s="14"/>
    </row>
    <row r="38" spans="2:9" ht="15.75">
      <c r="B38" s="18"/>
      <c r="C38" s="8" t="s">
        <v>65</v>
      </c>
      <c r="D38" s="8">
        <v>0.5</v>
      </c>
      <c r="E38" s="8" t="s">
        <v>30</v>
      </c>
      <c r="F38" s="8">
        <v>0.5</v>
      </c>
      <c r="G38" s="8" t="s">
        <v>56</v>
      </c>
      <c r="H38" s="8" t="s">
        <v>14</v>
      </c>
      <c r="I38" s="14"/>
    </row>
    <row r="39" spans="2:9" ht="15.75">
      <c r="B39" s="18"/>
      <c r="C39" s="8" t="s">
        <v>66</v>
      </c>
      <c r="D39" s="8">
        <v>3</v>
      </c>
      <c r="E39" s="8" t="s">
        <v>27</v>
      </c>
      <c r="F39" s="8">
        <v>3</v>
      </c>
      <c r="G39" s="8" t="s">
        <v>56</v>
      </c>
      <c r="H39" s="8" t="s">
        <v>14</v>
      </c>
      <c r="I39" s="14"/>
    </row>
    <row r="40" spans="2:9" ht="15.75">
      <c r="B40" s="18"/>
      <c r="C40" s="8" t="s">
        <v>67</v>
      </c>
      <c r="D40" s="8">
        <v>3</v>
      </c>
      <c r="E40" s="8" t="s">
        <v>49</v>
      </c>
      <c r="F40" s="8">
        <v>2</v>
      </c>
      <c r="G40" s="8" t="s">
        <v>56</v>
      </c>
      <c r="H40" s="8" t="s">
        <v>14</v>
      </c>
      <c r="I40" s="14"/>
    </row>
    <row r="41" spans="2:9" ht="15.75">
      <c r="B41" s="18"/>
      <c r="C41" s="8" t="s">
        <v>57</v>
      </c>
      <c r="D41" s="8">
        <v>3</v>
      </c>
      <c r="E41" s="8" t="s">
        <v>49</v>
      </c>
      <c r="F41" s="8">
        <v>3</v>
      </c>
      <c r="G41" s="8" t="s">
        <v>56</v>
      </c>
      <c r="H41" s="8" t="s">
        <v>14</v>
      </c>
      <c r="I41" s="14"/>
    </row>
    <row r="42" spans="2:9" ht="15.75">
      <c r="B42" s="18"/>
      <c r="C42" s="23" t="s">
        <v>68</v>
      </c>
      <c r="D42" s="9"/>
      <c r="E42" s="9"/>
      <c r="F42" s="9"/>
      <c r="G42" s="9"/>
      <c r="H42" s="9"/>
      <c r="I42" s="15"/>
    </row>
    <row r="43" spans="2:9" ht="15.75">
      <c r="B43" s="18"/>
      <c r="C43" s="8" t="s">
        <v>69</v>
      </c>
      <c r="D43" s="8">
        <v>2</v>
      </c>
      <c r="E43" s="8" t="s">
        <v>49</v>
      </c>
      <c r="F43" s="8"/>
      <c r="G43" s="8" t="s">
        <v>56</v>
      </c>
      <c r="H43" s="8" t="s">
        <v>14</v>
      </c>
      <c r="I43" s="14"/>
    </row>
    <row r="44" spans="2:9" ht="15.75">
      <c r="B44" s="18"/>
      <c r="C44" s="8" t="s">
        <v>70</v>
      </c>
      <c r="D44" s="8">
        <v>2</v>
      </c>
      <c r="E44" s="8" t="s">
        <v>27</v>
      </c>
      <c r="F44" s="8">
        <v>1</v>
      </c>
      <c r="G44" s="8" t="s">
        <v>28</v>
      </c>
      <c r="H44" s="8" t="s">
        <v>14</v>
      </c>
      <c r="I44" s="14"/>
    </row>
    <row r="45" spans="2:9" ht="15.75">
      <c r="B45" s="18"/>
      <c r="C45" s="8" t="s">
        <v>71</v>
      </c>
      <c r="D45" s="8">
        <v>2</v>
      </c>
      <c r="E45" s="8" t="s">
        <v>27</v>
      </c>
      <c r="F45" s="8">
        <v>1</v>
      </c>
      <c r="G45" s="8" t="s">
        <v>28</v>
      </c>
      <c r="H45" s="8" t="s">
        <v>14</v>
      </c>
      <c r="I45" s="14"/>
    </row>
    <row r="46" spans="2:9" ht="15.75">
      <c r="B46" s="18"/>
      <c r="C46" s="8" t="s">
        <v>72</v>
      </c>
      <c r="D46" s="8">
        <v>1</v>
      </c>
      <c r="E46" s="8" t="s">
        <v>12</v>
      </c>
      <c r="F46" s="8">
        <v>2</v>
      </c>
      <c r="G46" s="8" t="s">
        <v>53</v>
      </c>
      <c r="H46" s="8" t="s">
        <v>14</v>
      </c>
      <c r="I46" s="14"/>
    </row>
    <row r="47" spans="2:9" ht="15.75">
      <c r="B47" s="18"/>
      <c r="C47" s="8" t="s">
        <v>73</v>
      </c>
      <c r="D47" s="8">
        <v>2</v>
      </c>
      <c r="E47" s="8" t="s">
        <v>30</v>
      </c>
      <c r="F47" s="8">
        <v>2</v>
      </c>
      <c r="G47" s="8" t="s">
        <v>56</v>
      </c>
      <c r="H47" s="8" t="s">
        <v>14</v>
      </c>
      <c r="I47" s="14"/>
    </row>
    <row r="48" spans="2:9" ht="15.75">
      <c r="B48" s="21" t="s">
        <v>74</v>
      </c>
      <c r="C48" s="8" t="s">
        <v>75</v>
      </c>
      <c r="D48" s="8">
        <v>1</v>
      </c>
      <c r="E48" s="8" t="s">
        <v>49</v>
      </c>
      <c r="F48" s="8">
        <v>1</v>
      </c>
      <c r="G48" s="22" t="s">
        <v>76</v>
      </c>
      <c r="H48" s="8" t="s">
        <v>14</v>
      </c>
      <c r="I48" s="14"/>
    </row>
    <row r="49" spans="2:11" ht="15.75">
      <c r="B49" s="21"/>
      <c r="C49" s="9" t="s">
        <v>77</v>
      </c>
      <c r="D49" s="9">
        <v>1</v>
      </c>
      <c r="E49" s="9" t="s">
        <v>49</v>
      </c>
      <c r="F49" s="9">
        <v>1</v>
      </c>
      <c r="G49" s="48" t="s">
        <v>76</v>
      </c>
      <c r="H49" s="9" t="s">
        <v>14</v>
      </c>
      <c r="I49" s="15"/>
    </row>
    <row r="50" spans="2:11" ht="15.75">
      <c r="B50" s="21"/>
      <c r="C50" s="8" t="s">
        <v>78</v>
      </c>
      <c r="D50" s="8">
        <v>1</v>
      </c>
      <c r="E50" s="8" t="s">
        <v>49</v>
      </c>
      <c r="F50" s="8">
        <v>1</v>
      </c>
      <c r="G50" s="22" t="s">
        <v>76</v>
      </c>
      <c r="H50" s="8" t="s">
        <v>14</v>
      </c>
      <c r="I50" s="14"/>
    </row>
    <row r="51" spans="2:11" ht="15.75">
      <c r="B51" s="21"/>
      <c r="C51" s="8" t="s">
        <v>79</v>
      </c>
      <c r="D51" s="8">
        <v>1</v>
      </c>
      <c r="E51" s="8" t="s">
        <v>49</v>
      </c>
      <c r="F51" s="8">
        <v>1</v>
      </c>
      <c r="G51" s="22" t="s">
        <v>76</v>
      </c>
      <c r="H51" s="8" t="s">
        <v>14</v>
      </c>
      <c r="I51" s="14"/>
    </row>
    <row r="52" spans="2:11" ht="15.75">
      <c r="B52" s="21"/>
      <c r="C52" s="8" t="s">
        <v>80</v>
      </c>
      <c r="D52" s="8">
        <v>1</v>
      </c>
      <c r="E52" s="8" t="s">
        <v>49</v>
      </c>
      <c r="F52" s="8">
        <v>1</v>
      </c>
      <c r="G52" s="8" t="s">
        <v>34</v>
      </c>
      <c r="H52" s="8" t="s">
        <v>14</v>
      </c>
      <c r="I52" s="14"/>
    </row>
    <row r="53" spans="2:11" ht="15.75">
      <c r="B53" s="21"/>
      <c r="C53" s="8" t="s">
        <v>81</v>
      </c>
      <c r="D53" s="8">
        <v>1</v>
      </c>
      <c r="E53" s="8" t="s">
        <v>49</v>
      </c>
      <c r="F53" s="8">
        <v>1</v>
      </c>
      <c r="G53" s="8" t="s">
        <v>34</v>
      </c>
      <c r="H53" s="8" t="s">
        <v>54</v>
      </c>
      <c r="I53" s="14"/>
    </row>
    <row r="54" spans="2:11" ht="15.75">
      <c r="B54" s="21"/>
      <c r="C54" s="8" t="s">
        <v>82</v>
      </c>
      <c r="D54" s="8">
        <v>1</v>
      </c>
      <c r="E54" s="8" t="s">
        <v>49</v>
      </c>
      <c r="F54" s="8">
        <v>1</v>
      </c>
      <c r="G54" s="8" t="s">
        <v>34</v>
      </c>
      <c r="H54" s="8" t="s">
        <v>54</v>
      </c>
      <c r="I54" s="14"/>
    </row>
    <row r="55" spans="2:11" ht="15.75">
      <c r="B55" s="21"/>
      <c r="C55" s="8" t="s">
        <v>83</v>
      </c>
      <c r="D55" s="8">
        <v>2</v>
      </c>
      <c r="E55" s="8" t="s">
        <v>27</v>
      </c>
      <c r="F55" s="8">
        <v>2</v>
      </c>
      <c r="G55" s="8" t="s">
        <v>34</v>
      </c>
      <c r="H55" s="8" t="s">
        <v>14</v>
      </c>
      <c r="I55" s="14"/>
    </row>
    <row r="56" spans="2:11" ht="15.75">
      <c r="B56" s="13" t="s">
        <v>84</v>
      </c>
      <c r="C56" s="9" t="s">
        <v>85</v>
      </c>
      <c r="D56" s="9">
        <v>4</v>
      </c>
      <c r="E56" s="9" t="s">
        <v>27</v>
      </c>
      <c r="F56" s="9"/>
      <c r="G56" s="9" t="s">
        <v>76</v>
      </c>
      <c r="H56" s="9" t="s">
        <v>54</v>
      </c>
      <c r="I56" s="15"/>
    </row>
    <row r="57" spans="2:11" ht="15.75">
      <c r="B57" s="13"/>
      <c r="C57" s="9" t="s">
        <v>86</v>
      </c>
      <c r="D57" s="9">
        <v>2</v>
      </c>
      <c r="E57" s="9" t="s">
        <v>49</v>
      </c>
      <c r="F57" s="9"/>
      <c r="G57" s="9" t="s">
        <v>76</v>
      </c>
      <c r="H57" s="9" t="s">
        <v>87</v>
      </c>
      <c r="I57" s="15"/>
    </row>
    <row r="58" spans="2:11" ht="15.75">
      <c r="B58" s="24"/>
      <c r="C58" s="19" t="s">
        <v>88</v>
      </c>
      <c r="D58" s="19">
        <v>2</v>
      </c>
      <c r="E58" s="19" t="s">
        <v>27</v>
      </c>
      <c r="F58" s="19">
        <v>2</v>
      </c>
      <c r="G58" s="19" t="s">
        <v>89</v>
      </c>
      <c r="H58" s="19" t="s">
        <v>14</v>
      </c>
      <c r="I58" s="20"/>
    </row>
    <row r="59" spans="2:11" ht="15.75"/>
    <row r="60" spans="2:11" ht="15.75"/>
    <row r="61" spans="2:11" ht="15.75">
      <c r="K61" t="s">
        <v>90</v>
      </c>
    </row>
    <row r="62" spans="2:11" ht="15.75"/>
    <row r="63" spans="2:11" ht="15.75"/>
    <row r="64" spans="2:11" ht="15.75"/>
    <row r="65" ht="15.75"/>
    <row r="66" ht="15.75"/>
    <row r="68" ht="15.75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7651-CAE3-434B-AE6A-BF668D200E5B}">
  <dimension ref="C2:M19"/>
  <sheetViews>
    <sheetView workbookViewId="0">
      <selection activeCell="G19" sqref="G19"/>
    </sheetView>
  </sheetViews>
  <sheetFormatPr defaultRowHeight="15.75"/>
  <sheetData>
    <row r="2" spans="3:13">
      <c r="C2" t="s">
        <v>91</v>
      </c>
    </row>
    <row r="4" spans="3:13">
      <c r="D4" s="8" t="s">
        <v>92</v>
      </c>
      <c r="E4" s="8" t="s">
        <v>93</v>
      </c>
      <c r="F4" s="8" t="s">
        <v>94</v>
      </c>
      <c r="G4" s="8" t="s">
        <v>95</v>
      </c>
      <c r="H4" s="8" t="s">
        <v>96</v>
      </c>
      <c r="I4" s="8" t="s">
        <v>97</v>
      </c>
      <c r="J4" s="8"/>
    </row>
    <row r="5" spans="3:13">
      <c r="D5" s="30"/>
      <c r="E5" s="7">
        <v>1</v>
      </c>
      <c r="F5" s="7">
        <v>2</v>
      </c>
      <c r="G5" s="7">
        <v>3</v>
      </c>
      <c r="H5" s="7">
        <v>4</v>
      </c>
      <c r="I5" s="7">
        <v>5</v>
      </c>
      <c r="J5" s="31">
        <v>6</v>
      </c>
    </row>
    <row r="6" spans="3:13">
      <c r="D6" s="32">
        <v>7</v>
      </c>
      <c r="E6" s="1">
        <v>8</v>
      </c>
      <c r="F6" s="1">
        <v>9</v>
      </c>
      <c r="G6" s="1">
        <v>10</v>
      </c>
      <c r="H6" s="1">
        <v>11</v>
      </c>
      <c r="I6" s="1">
        <v>12</v>
      </c>
      <c r="J6" s="33">
        <v>13</v>
      </c>
    </row>
    <row r="7" spans="3:13">
      <c r="D7" s="32">
        <v>14</v>
      </c>
      <c r="E7" s="3">
        <v>15</v>
      </c>
      <c r="F7" s="3">
        <v>16</v>
      </c>
      <c r="G7" s="3">
        <v>17</v>
      </c>
      <c r="H7" s="3">
        <v>18</v>
      </c>
      <c r="I7" s="3">
        <v>19</v>
      </c>
      <c r="J7" s="34">
        <v>20</v>
      </c>
    </row>
    <row r="8" spans="3:13">
      <c r="D8" s="35">
        <v>21</v>
      </c>
      <c r="E8" s="3">
        <v>22</v>
      </c>
      <c r="F8" s="3">
        <v>23</v>
      </c>
      <c r="G8" s="3">
        <v>24</v>
      </c>
      <c r="H8" s="3">
        <v>25</v>
      </c>
      <c r="I8" s="3">
        <v>26</v>
      </c>
      <c r="J8" s="34">
        <v>27</v>
      </c>
    </row>
    <row r="9" spans="3:13">
      <c r="D9" s="36">
        <v>28</v>
      </c>
      <c r="E9" s="37">
        <v>29</v>
      </c>
      <c r="F9" s="38">
        <v>30</v>
      </c>
      <c r="G9" s="39"/>
      <c r="H9" s="39"/>
      <c r="I9" s="39"/>
      <c r="J9" s="40"/>
    </row>
    <row r="12" spans="3:13">
      <c r="D12" s="1" t="s">
        <v>98</v>
      </c>
      <c r="E12" s="1"/>
      <c r="F12" s="1"/>
      <c r="G12" s="4">
        <v>1</v>
      </c>
      <c r="H12" s="4">
        <v>2</v>
      </c>
      <c r="I12" s="4">
        <v>3</v>
      </c>
      <c r="J12" s="4">
        <v>4</v>
      </c>
    </row>
    <row r="13" spans="3:13">
      <c r="D13" s="4">
        <v>5</v>
      </c>
      <c r="E13" s="4">
        <v>6</v>
      </c>
      <c r="F13" s="4">
        <v>7</v>
      </c>
      <c r="G13" s="2">
        <v>8</v>
      </c>
      <c r="H13" s="2">
        <v>9</v>
      </c>
      <c r="I13" s="2">
        <v>10</v>
      </c>
      <c r="J13" s="2">
        <v>11</v>
      </c>
    </row>
    <row r="14" spans="3:13">
      <c r="D14" s="2">
        <v>12</v>
      </c>
      <c r="E14" s="2">
        <v>13</v>
      </c>
      <c r="F14" s="2">
        <v>14</v>
      </c>
      <c r="G14" s="2">
        <v>15</v>
      </c>
      <c r="H14" s="2">
        <v>16</v>
      </c>
      <c r="I14" s="2">
        <v>17</v>
      </c>
      <c r="J14" s="2">
        <v>18</v>
      </c>
    </row>
    <row r="15" spans="3:13">
      <c r="D15" s="41">
        <v>19</v>
      </c>
      <c r="E15" s="41">
        <v>20</v>
      </c>
      <c r="F15" s="41">
        <v>21</v>
      </c>
      <c r="G15" s="41">
        <v>22</v>
      </c>
      <c r="H15" s="41">
        <v>23</v>
      </c>
      <c r="I15" s="1">
        <v>24</v>
      </c>
      <c r="J15" s="1">
        <v>25</v>
      </c>
      <c r="L15" s="42"/>
      <c r="M15" t="s">
        <v>12</v>
      </c>
    </row>
    <row r="16" spans="3:13">
      <c r="D16" s="1">
        <v>26</v>
      </c>
      <c r="E16" s="1">
        <v>27</v>
      </c>
      <c r="F16" s="1">
        <v>28</v>
      </c>
      <c r="G16" s="1">
        <v>29</v>
      </c>
      <c r="H16" s="1">
        <v>30</v>
      </c>
      <c r="I16" s="43">
        <v>31</v>
      </c>
      <c r="J16" s="1"/>
      <c r="L16" s="44"/>
      <c r="M16" t="s">
        <v>16</v>
      </c>
    </row>
    <row r="17" spans="12:13">
      <c r="L17" s="45"/>
      <c r="M17" t="s">
        <v>18</v>
      </c>
    </row>
    <row r="18" spans="12:13">
      <c r="L18" s="46"/>
      <c r="M18" t="s">
        <v>99</v>
      </c>
    </row>
    <row r="19" spans="12:13">
      <c r="L19" s="47"/>
      <c r="M19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A41B8A39F5D7C42A915EA3203D3475A" ma:contentTypeVersion="3" ma:contentTypeDescription="新しいドキュメントを作成します。" ma:contentTypeScope="" ma:versionID="7bd4a93b8f826dde0255a5a9c5b761a7">
  <xsd:schema xmlns:xsd="http://www.w3.org/2001/XMLSchema" xmlns:xs="http://www.w3.org/2001/XMLSchema" xmlns:p="http://schemas.microsoft.com/office/2006/metadata/properties" xmlns:ns2="9ec34610-451d-4630-b8fd-572cd48b9242" targetNamespace="http://schemas.microsoft.com/office/2006/metadata/properties" ma:root="true" ma:fieldsID="1a85badd7ad608573bfc58ade974ad5c" ns2:_="">
    <xsd:import namespace="9ec34610-451d-4630-b8fd-572cd48b92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34610-451d-4630-b8fd-572cd48b9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BF7853-01BD-4208-BBA6-30D8498DCFB7}"/>
</file>

<file path=customXml/itemProps2.xml><?xml version="1.0" encoding="utf-8"?>
<ds:datastoreItem xmlns:ds="http://schemas.openxmlformats.org/officeDocument/2006/customXml" ds:itemID="{6BDE39E9-6F33-46E7-B7AF-EFADD9F8D015}"/>
</file>

<file path=customXml/itemProps3.xml><?xml version="1.0" encoding="utf-8"?>
<ds:datastoreItem xmlns:ds="http://schemas.openxmlformats.org/officeDocument/2006/customXml" ds:itemID="{FEEB1B50-1D2F-4568-B87D-D265AEA51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大崎　永遠</dc:creator>
  <cp:keywords/>
  <dc:description/>
  <cp:lastModifiedBy>大崎　永遠</cp:lastModifiedBy>
  <cp:revision/>
  <dcterms:created xsi:type="dcterms:W3CDTF">2025-09-09T08:50:17Z</dcterms:created>
  <dcterms:modified xsi:type="dcterms:W3CDTF">2025-10-17T05:49:37Z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0x010100FA41B8A39F5D7C42A915EA3203D3475A</vt:lpwstr>
  </property>
</Properties>
</file>